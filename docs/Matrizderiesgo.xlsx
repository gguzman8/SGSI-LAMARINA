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ol365-my.sharepoint.com/personal/dsolorzano3_ucol_mx/Documents/Escritorio/"/>
    </mc:Choice>
  </mc:AlternateContent>
  <xr:revisionPtr revIDLastSave="8" documentId="8_{6B3BE017-3D43-4F73-9CFD-9B9741960DD3}" xr6:coauthVersionLast="47" xr6:coauthVersionMax="47" xr10:uidLastSave="{DC44F78A-430B-4096-9A05-669F4A48C905}"/>
  <bookViews>
    <workbookView xWindow="-108" yWindow="-108" windowWidth="23256" windowHeight="12456" activeTab="1" xr2:uid="{4D204C04-6DDE-4C2D-B433-257B7A9323F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4" i="2"/>
  <c r="F4" i="2" s="1"/>
  <c r="E5" i="2"/>
  <c r="F5" i="2" s="1"/>
  <c r="E6" i="2"/>
  <c r="F6" i="2" s="1"/>
  <c r="E7" i="2"/>
  <c r="F7" i="2" s="1"/>
  <c r="E3" i="2"/>
  <c r="F3" i="2" s="1"/>
  <c r="E2" i="2"/>
  <c r="F2" i="2" s="1"/>
  <c r="E5" i="1"/>
  <c r="E6" i="1"/>
  <c r="E7" i="1"/>
  <c r="F5" i="1"/>
  <c r="C6" i="1"/>
  <c r="C7" i="1"/>
  <c r="C8" i="1"/>
  <c r="C9" i="1"/>
  <c r="G9" i="1"/>
  <c r="F6" i="1"/>
  <c r="F7" i="1"/>
  <c r="F8" i="1"/>
  <c r="F9" i="1"/>
  <c r="E8" i="1"/>
  <c r="E9" i="1"/>
  <c r="D6" i="1"/>
  <c r="D7" i="1"/>
  <c r="D8" i="1"/>
  <c r="D9" i="1"/>
  <c r="G6" i="1"/>
  <c r="G7" i="1"/>
  <c r="G8" i="1"/>
  <c r="D5" i="1"/>
  <c r="G5" i="1"/>
  <c r="C5" i="1"/>
</calcChain>
</file>

<file path=xl/sharedStrings.xml><?xml version="1.0" encoding="utf-8"?>
<sst xmlns="http://schemas.openxmlformats.org/spreadsheetml/2006/main" count="81" uniqueCount="51">
  <si>
    <t>Probabilidad</t>
  </si>
  <si>
    <t>Muy Alta</t>
  </si>
  <si>
    <t>Alta</t>
  </si>
  <si>
    <t>Media</t>
  </si>
  <si>
    <t>Baja</t>
  </si>
  <si>
    <t>Muy Baja</t>
  </si>
  <si>
    <t>MATRIZ DE RIESGOS</t>
  </si>
  <si>
    <t>Consecuencia</t>
  </si>
  <si>
    <t>Minima</t>
  </si>
  <si>
    <t>Menor</t>
  </si>
  <si>
    <t>Moderada</t>
  </si>
  <si>
    <t>Maxima</t>
  </si>
  <si>
    <t>Mayor</t>
  </si>
  <si>
    <t>Nivel de riesgo</t>
  </si>
  <si>
    <t>Color</t>
  </si>
  <si>
    <t>Riesgo aceptable</t>
  </si>
  <si>
    <t>Riesgo tolerable</t>
  </si>
  <si>
    <t>Riesgo alto</t>
  </si>
  <si>
    <t>Riesgo extremo</t>
  </si>
  <si>
    <t xml:space="preserve">Evento </t>
  </si>
  <si>
    <t>Nivel de Riesgo</t>
  </si>
  <si>
    <t>Calificacion</t>
  </si>
  <si>
    <t>Descripcion</t>
  </si>
  <si>
    <t>Fallo en plataforma 
VTEX</t>
  </si>
  <si>
    <t>Indisponibilidad de tienda en línea que genera una 
significante parte 
de los ingresos</t>
  </si>
  <si>
    <t xml:space="preserve">	Incidente de seguridad de datos</t>
  </si>
  <si>
    <t>Brechas en datos de 
clientes, tarjetas de crédito 
o transacciones financieras</t>
  </si>
  <si>
    <t xml:space="preserve">	Desincronización de inventarios</t>
  </si>
  <si>
    <t>Inconsistencia entre 
tienda física y en línea 
genera pedidos no 
entregables</t>
  </si>
  <si>
    <t xml:space="preserve">	Fraude en tarjeta de crédito</t>
  </si>
  <si>
    <t xml:space="preserve">Fraude electrónico 
en solicitudes o 
transacciones de la
tarjeta de 
"La Marina" </t>
  </si>
  <si>
    <t>Falta de gobernanza corporativa</t>
  </si>
  <si>
    <t>Decisiones desalineadas, 
falta de supervisión, 
procesos incoherentes</t>
  </si>
  <si>
    <t>Proceso de tarjeta engorroso</t>
  </si>
  <si>
    <t>Solicitudes complejas 
y lentas afectan 
conversión y 
experiencia</t>
  </si>
  <si>
    <t>Problemas en logística intersucursal</t>
  </si>
  <si>
    <t>Negativa a trasladar 
productos entre 
sucursales, ineficiencia operativa</t>
  </si>
  <si>
    <t xml:space="preserve">	Ciberataques a infraestructura</t>
  </si>
  <si>
    <t xml:space="preserve">	Desconexión entre canales</t>
  </si>
  <si>
    <t>DDoS, malware, 
ransomware afectando 
operaciones omnicanal</t>
  </si>
  <si>
    <t>Sucursales trabajando 
de forma desconectada, 
falta de integración</t>
  </si>
  <si>
    <t xml:space="preserve">	Variabilidad en disponibilidad de productos</t>
  </si>
  <si>
    <t>Poca variedad, 
desabastecimientos 
limitando competitividad</t>
  </si>
  <si>
    <t>Deficiencia en aplicación web</t>
  </si>
  <si>
    <t>Web lenta, con errores afectando experiencia
del cliente</t>
  </si>
  <si>
    <t xml:space="preserve">	Rotación de personal clave</t>
  </si>
  <si>
    <t>Pérdida de expertise
en tecnología,
operaciones u omnicanal</t>
  </si>
  <si>
    <t>Pérdida de datos por falta de backup</t>
  </si>
  <si>
    <t>Perder datos de importancia 
por no tener un registro diario de la informacion 
que entra y sale de 
la empresa</t>
  </si>
  <si>
    <t>Retraso en envíos</t>
  </si>
  <si>
    <t>Retraso en entrega de
paquetes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</si>
</sst>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10">
    <dxf>
      <numFmt numFmtId="164" formatCode="&quot;Riesgo extremo&quot;"/>
      <fill>
        <patternFill>
          <bgColor rgb="FFFF0000"/>
        </patternFill>
      </fill>
    </dxf>
    <dxf>
      <numFmt numFmtId="165" formatCode="&quot;Riesgo alto&quot;"/>
      <fill>
        <patternFill>
          <bgColor theme="5" tint="-0.24994659260841701"/>
        </patternFill>
      </fill>
    </dxf>
    <dxf>
      <numFmt numFmtId="166" formatCode="&quot;Riesgo tolerable&quot;"/>
      <fill>
        <patternFill>
          <bgColor rgb="FFFFFF00"/>
        </patternFill>
      </fill>
    </dxf>
    <dxf>
      <numFmt numFmtId="167" formatCode="&quot;Riesgo aceptable&quot;"/>
      <fill>
        <patternFill>
          <bgColor rgb="FF92D050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16C295-E747-4DFA-9245-E55A4CA74CB0}" name="Tabla5" displayName="Tabla5" ref="A1:F15" totalsRowShown="0">
  <autoFilter ref="A1:F15" xr:uid="{4116C295-E747-4DFA-9245-E55A4CA74CB0}"/>
  <tableColumns count="6">
    <tableColumn id="1" xr3:uid="{4BE94414-5E3B-4559-8128-45162D5068EB}" name="Evento " dataDxfId="9"/>
    <tableColumn id="6" xr3:uid="{6E967927-37D4-41E7-82C8-4C2D60352F40}" name="Descripcion" dataDxfId="8"/>
    <tableColumn id="2" xr3:uid="{952CDC47-E765-4C92-859D-4E245D1E2130}" name="Probabilidad" dataDxfId="7"/>
    <tableColumn id="3" xr3:uid="{C45155E2-7017-4249-8408-38662F158BC2}" name="Consecuencia" dataDxfId="6"/>
    <tableColumn id="4" xr3:uid="{BF9BDF17-E1EC-4736-BAE9-AF0D9854664F}" name="Nivel de Riesgo" dataDxfId="5">
      <calculatedColumnFormula>IFERROR(INDEX(Hoja1!$C$5:$G$9,MATCH($C2,Hoja1!$A$5:$A$9,0),MATCH($D2,Hoja1!$C$3:$G$3,0)),"-")</calculatedColumnFormula>
    </tableColumn>
    <tableColumn id="5" xr3:uid="{F5CCAED0-057A-4DA3-BD0B-7C378FDAD016}" name="Calificacion" dataDxfId="4">
      <calculatedColumnFormula>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88B8-71E2-4F88-88A0-A12F9EA78B11}">
  <dimension ref="A1:G15"/>
  <sheetViews>
    <sheetView workbookViewId="0">
      <selection activeCell="E4" sqref="E4"/>
    </sheetView>
  </sheetViews>
  <sheetFormatPr baseColWidth="10" defaultRowHeight="14.4" x14ac:dyDescent="0.3"/>
  <cols>
    <col min="1" max="1" width="15" customWidth="1"/>
    <col min="2" max="2" width="8.33203125" customWidth="1"/>
  </cols>
  <sheetData>
    <row r="1" spans="1:7" x14ac:dyDescent="0.3">
      <c r="C1" s="17" t="s">
        <v>6</v>
      </c>
      <c r="D1" s="18"/>
      <c r="E1" s="18"/>
      <c r="F1" s="18"/>
      <c r="G1" s="18"/>
    </row>
    <row r="2" spans="1:7" x14ac:dyDescent="0.3">
      <c r="C2" s="17" t="s">
        <v>7</v>
      </c>
      <c r="D2" s="18"/>
      <c r="E2" s="18"/>
      <c r="F2" s="18"/>
      <c r="G2" s="18"/>
    </row>
    <row r="3" spans="1:7" x14ac:dyDescent="0.3">
      <c r="C3" s="4" t="s">
        <v>8</v>
      </c>
      <c r="D3" s="2" t="s">
        <v>9</v>
      </c>
      <c r="E3" s="2" t="s">
        <v>10</v>
      </c>
      <c r="F3" s="2" t="s">
        <v>12</v>
      </c>
      <c r="G3" s="2" t="s">
        <v>11</v>
      </c>
    </row>
    <row r="4" spans="1:7" x14ac:dyDescent="0.3">
      <c r="A4" s="19" t="s">
        <v>0</v>
      </c>
      <c r="B4" s="20"/>
      <c r="C4" s="3">
        <v>1</v>
      </c>
      <c r="D4" s="2">
        <v>2</v>
      </c>
      <c r="E4" s="2">
        <v>4</v>
      </c>
      <c r="F4" s="2">
        <v>8</v>
      </c>
      <c r="G4" s="2">
        <v>16</v>
      </c>
    </row>
    <row r="5" spans="1:7" x14ac:dyDescent="0.3">
      <c r="A5" s="2" t="s">
        <v>1</v>
      </c>
      <c r="B5" s="2">
        <v>5</v>
      </c>
      <c r="C5" s="10">
        <f>$B5*C$4</f>
        <v>5</v>
      </c>
      <c r="D5" s="10">
        <f>$B5*D$4</f>
        <v>10</v>
      </c>
      <c r="E5" s="11">
        <f>$B5*E$4</f>
        <v>20</v>
      </c>
      <c r="F5" s="12">
        <f>$B5*F$4</f>
        <v>40</v>
      </c>
      <c r="G5" s="12">
        <f>$B5*G$4</f>
        <v>80</v>
      </c>
    </row>
    <row r="6" spans="1:7" x14ac:dyDescent="0.3">
      <c r="A6" s="2" t="s">
        <v>2</v>
      </c>
      <c r="B6" s="2">
        <v>4</v>
      </c>
      <c r="C6" s="5">
        <f t="shared" ref="C6:C9" si="0">$B6*C$4</f>
        <v>4</v>
      </c>
      <c r="D6" s="10">
        <f t="shared" ref="D6:G9" si="1">$B6*D$4</f>
        <v>8</v>
      </c>
      <c r="E6" s="11">
        <f t="shared" si="1"/>
        <v>16</v>
      </c>
      <c r="F6" s="12">
        <f t="shared" si="1"/>
        <v>32</v>
      </c>
      <c r="G6" s="12">
        <f t="shared" si="1"/>
        <v>64</v>
      </c>
    </row>
    <row r="7" spans="1:7" x14ac:dyDescent="0.3">
      <c r="A7" s="2" t="s">
        <v>3</v>
      </c>
      <c r="B7" s="2">
        <v>3</v>
      </c>
      <c r="C7" s="5">
        <f t="shared" si="0"/>
        <v>3</v>
      </c>
      <c r="D7" s="10">
        <f t="shared" si="1"/>
        <v>6</v>
      </c>
      <c r="E7" s="10">
        <f t="shared" si="1"/>
        <v>12</v>
      </c>
      <c r="F7" s="11">
        <f t="shared" si="1"/>
        <v>24</v>
      </c>
      <c r="G7" s="12">
        <f t="shared" si="1"/>
        <v>48</v>
      </c>
    </row>
    <row r="8" spans="1:7" x14ac:dyDescent="0.3">
      <c r="A8" s="2" t="s">
        <v>4</v>
      </c>
      <c r="B8" s="2">
        <v>2</v>
      </c>
      <c r="C8" s="5">
        <f t="shared" si="0"/>
        <v>2</v>
      </c>
      <c r="D8" s="5">
        <f t="shared" si="1"/>
        <v>4</v>
      </c>
      <c r="E8" s="10">
        <f t="shared" si="1"/>
        <v>8</v>
      </c>
      <c r="F8" s="11">
        <f t="shared" si="1"/>
        <v>16</v>
      </c>
      <c r="G8" s="12">
        <f t="shared" si="1"/>
        <v>32</v>
      </c>
    </row>
    <row r="9" spans="1:7" x14ac:dyDescent="0.3">
      <c r="A9" s="2" t="s">
        <v>5</v>
      </c>
      <c r="B9" s="2">
        <v>1</v>
      </c>
      <c r="C9" s="5">
        <f t="shared" si="0"/>
        <v>1</v>
      </c>
      <c r="D9" s="5">
        <f t="shared" si="1"/>
        <v>2</v>
      </c>
      <c r="E9" s="5">
        <f t="shared" si="1"/>
        <v>4</v>
      </c>
      <c r="F9" s="10">
        <f t="shared" si="1"/>
        <v>8</v>
      </c>
      <c r="G9" s="11">
        <f t="shared" si="1"/>
        <v>16</v>
      </c>
    </row>
    <row r="11" spans="1:7" x14ac:dyDescent="0.3">
      <c r="A11" s="2" t="s">
        <v>13</v>
      </c>
      <c r="B11" s="1" t="s">
        <v>14</v>
      </c>
    </row>
    <row r="12" spans="1:7" x14ac:dyDescent="0.3">
      <c r="A12" s="2" t="s">
        <v>15</v>
      </c>
      <c r="B12" s="6"/>
    </row>
    <row r="13" spans="1:7" x14ac:dyDescent="0.3">
      <c r="A13" s="2" t="s">
        <v>16</v>
      </c>
      <c r="B13" s="7"/>
    </row>
    <row r="14" spans="1:7" x14ac:dyDescent="0.3">
      <c r="A14" s="2" t="s">
        <v>17</v>
      </c>
      <c r="B14" s="8"/>
    </row>
    <row r="15" spans="1:7" x14ac:dyDescent="0.3">
      <c r="A15" s="2" t="s">
        <v>18</v>
      </c>
      <c r="B15" s="9"/>
    </row>
  </sheetData>
  <mergeCells count="3">
    <mergeCell ref="C1:G1"/>
    <mergeCell ref="C2:G2"/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245C-9A71-4CB2-BCF0-7ED193B24AC8}">
  <dimension ref="A1:F15"/>
  <sheetViews>
    <sheetView tabSelected="1" topLeftCell="A7" zoomScale="70" zoomScaleNormal="70" workbookViewId="0">
      <selection activeCell="A11" sqref="A11"/>
    </sheetView>
  </sheetViews>
  <sheetFormatPr baseColWidth="10" defaultRowHeight="14.4" x14ac:dyDescent="0.3"/>
  <cols>
    <col min="1" max="1" width="16" customWidth="1"/>
    <col min="2" max="2" width="21.21875" customWidth="1"/>
    <col min="3" max="3" width="15.21875" customWidth="1"/>
    <col min="4" max="4" width="17.33203125" customWidth="1"/>
    <col min="5" max="5" width="16.88671875" customWidth="1"/>
    <col min="6" max="6" width="14.5546875" customWidth="1"/>
  </cols>
  <sheetData>
    <row r="1" spans="1:6" x14ac:dyDescent="0.3">
      <c r="A1" t="s">
        <v>19</v>
      </c>
      <c r="B1" t="s">
        <v>22</v>
      </c>
      <c r="C1" t="s">
        <v>0</v>
      </c>
      <c r="D1" t="s">
        <v>7</v>
      </c>
      <c r="E1" t="s">
        <v>20</v>
      </c>
      <c r="F1" t="s">
        <v>21</v>
      </c>
    </row>
    <row r="2" spans="1:6" ht="72" x14ac:dyDescent="0.3">
      <c r="A2" s="13" t="s">
        <v>23</v>
      </c>
      <c r="B2" s="13" t="s">
        <v>24</v>
      </c>
      <c r="C2" s="14" t="s">
        <v>4</v>
      </c>
      <c r="D2" s="14" t="s">
        <v>11</v>
      </c>
      <c r="E2" s="14">
        <f>IFERROR(INDEX(Hoja1!$C$5:$G$9,MATCH($C2,Hoja1!$A$5:$A$9,0),MATCH($D2,Hoja1!$C$3:$G$3,0)),"-")</f>
        <v>32</v>
      </c>
      <c r="F2" s="14">
        <f>E2</f>
        <v>32</v>
      </c>
    </row>
    <row r="3" spans="1:6" ht="72" x14ac:dyDescent="0.3">
      <c r="A3" s="13" t="s">
        <v>25</v>
      </c>
      <c r="B3" s="13" t="s">
        <v>26</v>
      </c>
      <c r="C3" s="14" t="s">
        <v>3</v>
      </c>
      <c r="D3" s="14" t="s">
        <v>11</v>
      </c>
      <c r="E3" s="14">
        <f>IFERROR(INDEX(Hoja1!$C$5:$G$9,MATCH($C3,Hoja1!$A$5:$A$9,0),MATCH($D3,Hoja1!$C$3:$G$3,0)),"-")</f>
        <v>48</v>
      </c>
      <c r="F3" s="14">
        <f>E3</f>
        <v>48</v>
      </c>
    </row>
    <row r="4" spans="1:6" ht="57.6" x14ac:dyDescent="0.3">
      <c r="A4" s="13" t="s">
        <v>27</v>
      </c>
      <c r="B4" s="13" t="s">
        <v>28</v>
      </c>
      <c r="C4" s="14" t="s">
        <v>3</v>
      </c>
      <c r="D4" s="14" t="s">
        <v>12</v>
      </c>
      <c r="E4" s="14">
        <f>IFERROR(INDEX(Hoja1!$C$5:$G$9,MATCH($C4,Hoja1!$A$5:$A$9,0),MATCH($D4,Hoja1!$C$3:$G$3,0)),"-")</f>
        <v>24</v>
      </c>
      <c r="F4" s="14">
        <f t="shared" ref="F4:F7" si="0">E4</f>
        <v>24</v>
      </c>
    </row>
    <row r="5" spans="1:6" ht="72" x14ac:dyDescent="0.3">
      <c r="A5" s="13" t="s">
        <v>29</v>
      </c>
      <c r="B5" s="13" t="s">
        <v>30</v>
      </c>
      <c r="C5" s="14" t="s">
        <v>4</v>
      </c>
      <c r="D5" s="14" t="s">
        <v>11</v>
      </c>
      <c r="E5" s="14">
        <f>IFERROR(INDEX(Hoja1!$C$5:$G$9,MATCH($C5,Hoja1!$A$5:$A$9,0),MATCH($D5,Hoja1!$C$3:$G$3,0)),"-")</f>
        <v>32</v>
      </c>
      <c r="F5" s="14">
        <f t="shared" si="0"/>
        <v>32</v>
      </c>
    </row>
    <row r="6" spans="1:6" ht="57.6" x14ac:dyDescent="0.3">
      <c r="A6" s="13" t="s">
        <v>31</v>
      </c>
      <c r="B6" s="13" t="s">
        <v>32</v>
      </c>
      <c r="C6" s="14" t="s">
        <v>3</v>
      </c>
      <c r="D6" s="14" t="s">
        <v>11</v>
      </c>
      <c r="E6" s="14">
        <f>IFERROR(INDEX(Hoja1!$C$5:$G$9,MATCH($C6,Hoja1!$A$5:$A$9,0),MATCH($D6,Hoja1!$C$3:$G$3,0)),"-")</f>
        <v>48</v>
      </c>
      <c r="F6" s="14">
        <f t="shared" si="0"/>
        <v>48</v>
      </c>
    </row>
    <row r="7" spans="1:6" ht="57.6" x14ac:dyDescent="0.3">
      <c r="A7" s="13" t="s">
        <v>33</v>
      </c>
      <c r="B7" s="13" t="s">
        <v>34</v>
      </c>
      <c r="C7" s="14" t="s">
        <v>2</v>
      </c>
      <c r="D7" s="14" t="s">
        <v>12</v>
      </c>
      <c r="E7" s="14">
        <f>IFERROR(INDEX(Hoja1!$C$5:$G$9,MATCH($C7,Hoja1!$A$5:$A$9,0),MATCH($D7,Hoja1!$C$3:$G$3,0)),"-")</f>
        <v>32</v>
      </c>
      <c r="F7" s="14">
        <f t="shared" si="0"/>
        <v>32</v>
      </c>
    </row>
    <row r="8" spans="1:6" ht="57.6" x14ac:dyDescent="0.3">
      <c r="A8" s="13" t="s">
        <v>35</v>
      </c>
      <c r="B8" s="13" t="s">
        <v>36</v>
      </c>
      <c r="C8" s="14" t="s">
        <v>2</v>
      </c>
      <c r="D8" s="14" t="s">
        <v>12</v>
      </c>
      <c r="E8" s="14">
        <f>IFERROR(INDEX(Hoja1!$C$5:$G$9,MATCH($C8,Hoja1!$A$5:$A$9,0),MATCH($D8,Hoja1!$C$3:$G$3,0)),"-")</f>
        <v>32</v>
      </c>
      <c r="F8" s="14">
        <f t="shared" ref="F8:F15" si="1">E8</f>
        <v>32</v>
      </c>
    </row>
    <row r="9" spans="1:6" ht="43.2" x14ac:dyDescent="0.3">
      <c r="A9" s="13" t="s">
        <v>37</v>
      </c>
      <c r="B9" s="13" t="s">
        <v>39</v>
      </c>
      <c r="C9" s="14" t="s">
        <v>4</v>
      </c>
      <c r="D9" s="14" t="s">
        <v>11</v>
      </c>
      <c r="E9" s="14">
        <f>IFERROR(INDEX(Hoja1!$C$5:$G$9,MATCH($C9,Hoja1!$A$5:$A$9,0),MATCH($D9,Hoja1!$C$3:$G$3,0)),"-")</f>
        <v>32</v>
      </c>
      <c r="F9" s="14">
        <f t="shared" si="1"/>
        <v>32</v>
      </c>
    </row>
    <row r="10" spans="1:6" ht="87" customHeight="1" x14ac:dyDescent="0.3">
      <c r="A10" s="15" t="s">
        <v>38</v>
      </c>
      <c r="B10" s="15" t="s">
        <v>40</v>
      </c>
      <c r="C10" s="16" t="s">
        <v>3</v>
      </c>
      <c r="D10" s="16" t="s">
        <v>10</v>
      </c>
      <c r="E10" s="16">
        <f>IFERROR(INDEX(Hoja1!$C$5:$G$9,MATCH($C10,Hoja1!$A$5:$A$9,0),MATCH($D10,Hoja1!$C$3:$G$3,0)),"-")</f>
        <v>12</v>
      </c>
      <c r="F10" s="16">
        <f t="shared" si="1"/>
        <v>12</v>
      </c>
    </row>
    <row r="11" spans="1:6" ht="43.2" x14ac:dyDescent="0.3">
      <c r="A11" s="13" t="s">
        <v>41</v>
      </c>
      <c r="B11" s="13" t="s">
        <v>42</v>
      </c>
      <c r="C11" s="14" t="s">
        <v>5</v>
      </c>
      <c r="D11" s="14" t="s">
        <v>10</v>
      </c>
      <c r="E11" s="14">
        <f>IFERROR(INDEX(Hoja1!$C$5:$G$9,MATCH($C11,Hoja1!$A$5:$A$9,0),MATCH($D11,Hoja1!$C$3:$G$3,0)),"-")</f>
        <v>4</v>
      </c>
      <c r="F11" s="14">
        <f t="shared" si="1"/>
        <v>4</v>
      </c>
    </row>
    <row r="12" spans="1:6" ht="43.2" x14ac:dyDescent="0.3">
      <c r="A12" s="13" t="s">
        <v>43</v>
      </c>
      <c r="B12" s="13" t="s">
        <v>44</v>
      </c>
      <c r="C12" s="14" t="s">
        <v>1</v>
      </c>
      <c r="D12" s="14" t="s">
        <v>9</v>
      </c>
      <c r="E12" s="14">
        <f>IFERROR(INDEX(Hoja1!$C$5:$G$9,MATCH($C12,Hoja1!$A$5:$A$9,0),MATCH($D12,Hoja1!$C$3:$G$3,0)),"-")</f>
        <v>10</v>
      </c>
      <c r="F12" s="14">
        <f t="shared" si="1"/>
        <v>10</v>
      </c>
    </row>
    <row r="13" spans="1:6" ht="57.6" x14ac:dyDescent="0.3">
      <c r="A13" s="13" t="s">
        <v>45</v>
      </c>
      <c r="B13" s="13" t="s">
        <v>46</v>
      </c>
      <c r="C13" s="14" t="s">
        <v>1</v>
      </c>
      <c r="D13" s="14" t="s">
        <v>12</v>
      </c>
      <c r="E13" s="14">
        <f>IFERROR(INDEX(Hoja1!$C$5:$G$9,MATCH($C13,Hoja1!$A$5:$A$9,0),MATCH($D13,Hoja1!$C$3:$G$3,0)),"-")</f>
        <v>40</v>
      </c>
      <c r="F13" s="14">
        <f t="shared" si="1"/>
        <v>40</v>
      </c>
    </row>
    <row r="14" spans="1:6" ht="86.4" x14ac:dyDescent="0.3">
      <c r="A14" s="13" t="s">
        <v>47</v>
      </c>
      <c r="B14" s="13" t="s">
        <v>48</v>
      </c>
      <c r="C14" s="14" t="s">
        <v>4</v>
      </c>
      <c r="D14" s="14" t="s">
        <v>10</v>
      </c>
      <c r="E14" s="14">
        <f>IFERROR(INDEX(Hoja1!$C$5:$G$9,MATCH($C14,Hoja1!$A$5:$A$9,0),MATCH($D14,Hoja1!$C$3:$G$3,0)),"-")</f>
        <v>8</v>
      </c>
      <c r="F14" s="14">
        <f t="shared" si="1"/>
        <v>8</v>
      </c>
    </row>
    <row r="15" spans="1:6" ht="28.8" x14ac:dyDescent="0.3">
      <c r="A15" s="13" t="s">
        <v>49</v>
      </c>
      <c r="B15" s="13" t="s">
        <v>50</v>
      </c>
      <c r="C15" s="14" t="s">
        <v>5</v>
      </c>
      <c r="D15" s="14" t="s">
        <v>10</v>
      </c>
      <c r="E15" s="14">
        <f>IFERROR(INDEX(Hoja1!$C$5:$G$9,MATCH($C15,Hoja1!$A$5:$A$9,0),MATCH($D15,Hoja1!$C$3:$G$3,0)),"-")</f>
        <v>4</v>
      </c>
      <c r="F15" s="14">
        <f t="shared" si="1"/>
        <v>4</v>
      </c>
    </row>
  </sheetData>
  <conditionalFormatting sqref="E2:E15">
    <cfRule type="expression" dxfId="3" priority="1">
      <formula>AND(E2&gt;=1,E2&lt;=4)</formula>
    </cfRule>
    <cfRule type="expression" dxfId="2" priority="2">
      <formula>AND(E2&gt;=5,E2&lt;=12)</formula>
    </cfRule>
    <cfRule type="expression" dxfId="1" priority="3">
      <formula>AND(E2&gt;=13,E2&lt;=24)</formula>
    </cfRule>
    <cfRule type="expression" dxfId="0" priority="4">
      <formula>AND(E2&gt;=25,E2&lt;=80)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4FC6C0-D76D-4CD1-B303-9B22C7175993}">
          <x14:formula1>
            <xm:f>Hoja1!$A$5:$A$9</xm:f>
          </x14:formula1>
          <xm:sqref>C2:C15</xm:sqref>
        </x14:dataValidation>
        <x14:dataValidation type="list" allowBlank="1" showInputMessage="1" showErrorMessage="1" xr:uid="{51CE1B79-90B8-44A7-8C42-104B5EFC7427}">
          <x14:formula1>
            <xm:f>Hoja1!$C$3:$G$3</xm:f>
          </x14:formula1>
          <xm:sqref>D2:D15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SOLORZANO PEREZ DENISSE MONSERRAT</dc:creator>
  <cp:lastModifiedBy>SOLORZANO PEREZ DENISSE MONSERRAT</cp:lastModifiedBy>
  <dcterms:created xsi:type="dcterms:W3CDTF">2025-10-12T04:47:57Z</dcterms:created>
  <dcterms:modified xsi:type="dcterms:W3CDTF">2025-11-18T04:26:44Z</dcterms:modified>
</cp:coreProperties>
</file>