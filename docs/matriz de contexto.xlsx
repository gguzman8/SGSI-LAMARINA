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becas\Documents\"/>
    </mc:Choice>
  </mc:AlternateContent>
  <xr:revisionPtr revIDLastSave="0" documentId="8_{2004CD5C-81DF-4972-8F04-8344D62E5FCB}" xr6:coauthVersionLast="47" xr6:coauthVersionMax="47" xr10:uidLastSave="{00000000-0000-0000-0000-000000000000}"/>
  <bookViews>
    <workbookView xWindow="-108" yWindow="-108" windowWidth="23256" windowHeight="12456" xr2:uid="{24DE4AB9-245A-4194-B3E2-33529D73F548}"/>
  </bookViews>
  <sheets>
    <sheet name="Matriz_de_Contexto_y_Riesg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5" i="2"/>
  <c r="N6" i="2"/>
  <c r="N7" i="2"/>
</calcChain>
</file>

<file path=xl/sharedStrings.xml><?xml version="1.0" encoding="utf-8"?>
<sst xmlns="http://schemas.openxmlformats.org/spreadsheetml/2006/main" count="73" uniqueCount="61">
  <si>
    <t>Gestión de e-commerce y Marketplace</t>
  </si>
  <si>
    <r>
      <rPr>
        <b/>
        <sz val="12"/>
        <color theme="1"/>
        <rFont val="Aptos Narrow"/>
        <family val="2"/>
        <scheme val="minor"/>
      </rPr>
      <t>Opción elegida: "Reducir el riesgo".</t>
    </r>
    <r>
      <rPr>
        <sz val="12"/>
        <color theme="1"/>
        <rFont val="Aptos Narrow"/>
        <family val="2"/>
        <scheme val="minor"/>
      </rPr>
      <t xml:space="preserve">
Aunque la probabilidad es baja, el impacto afecta directamente integridad y disponibilidad. Se requiere implementar un proceso formal y automatizado de respaldo.
</t>
    </r>
    <r>
      <rPr>
        <b/>
        <u/>
        <sz val="12"/>
        <color theme="1"/>
        <rFont val="Aptos Narrow"/>
        <family val="2"/>
        <scheme val="minor"/>
      </rPr>
      <t>Acciones del plan de tratamiento:</t>
    </r>
    <r>
      <rPr>
        <sz val="12"/>
        <color theme="1"/>
        <rFont val="Aptos Narrow"/>
        <family val="2"/>
        <scheme val="minor"/>
      </rPr>
      <t xml:space="preserve">
Establecer políticas de backup diario, respaldo automático en la nube, verificación periódica de recuperación, bitácoras de respaldo, pruebas de restauración y definición de tiempos de retención. BoostTI apoyará en el diseño del proceso y automatización.
</t>
    </r>
    <r>
      <rPr>
        <b/>
        <u/>
        <sz val="12"/>
        <color theme="1"/>
        <rFont val="Aptos Narrow"/>
        <family val="2"/>
        <scheme val="minor"/>
      </rPr>
      <t>Evidencias esperadas:</t>
    </r>
    <r>
      <rPr>
        <sz val="12"/>
        <color theme="1"/>
        <rFont val="Aptos Narrow"/>
        <family val="2"/>
        <scheme val="minor"/>
      </rPr>
      <t xml:space="preserve"> 
Bitácoras de backup, reportes de restauración exitosa, configuraciones del sistema de respaldo, políticas documentadas.</t>
    </r>
  </si>
  <si>
    <t>A.8.13 — Copias de seguridad 
A.8.12 — Registro y monitoreo 
A.5.11 — Seguridad en procesos de negocio 
A.8.16 — Gestión de la configuración 
A.5.23 — Gestión de la información 
A.5.28 — Gestión de cambios</t>
  </si>
  <si>
    <t>-Respaldo ocasional  
-Almacenamiento parcial en equipos locales 
-Prácticas informales de guardado 
-Algunos respaldos manuales.</t>
  </si>
  <si>
    <t>-TI 
- BoostTI  
-Dirección</t>
  </si>
  <si>
    <t>x</t>
  </si>
  <si>
    <t>Pérdida de datos por falta de backup</t>
  </si>
  <si>
    <t>R</t>
  </si>
  <si>
    <t>Respaldo confiable de la información, recuperación rápida ante pérdidas, continuidad operativa garantizada.</t>
  </si>
  <si>
    <t>-TI 
- Dirección 
- eCommerce 
- Finanzas 
- Operaciones 
- BoostTI 
- Clientes indirectamente</t>
  </si>
  <si>
    <t>Interna</t>
  </si>
  <si>
    <t>Ausencia o mala gestión de respaldos diarios que puede ocasionar pérdida de información crítica, afectando operaciones, reportes, procesos de venta y análisis interno.</t>
  </si>
  <si>
    <r>
      <rPr>
        <b/>
        <sz val="12"/>
        <color theme="1"/>
        <rFont val="Aptos Narrow"/>
        <family val="2"/>
        <scheme val="minor"/>
      </rPr>
      <t>Opción elegida: "Reducir el riesgo".</t>
    </r>
    <r>
      <rPr>
        <sz val="12"/>
        <color theme="1"/>
        <rFont val="Aptos Narrow"/>
        <family val="2"/>
        <scheme val="minor"/>
      </rPr>
      <t xml:space="preserve">
La probabilidad es muy alta y afecta directamente las ventas y experiencia del cliente; requiere acciones de mejora en la operación del sitio web.
</t>
    </r>
    <r>
      <rPr>
        <b/>
        <u/>
        <sz val="12"/>
        <color theme="1"/>
        <rFont val="Aptos Narrow"/>
        <family val="2"/>
        <scheme val="minor"/>
      </rPr>
      <t>Acciones del plan de tratamiento:</t>
    </r>
    <r>
      <rPr>
        <sz val="12"/>
        <color theme="1"/>
        <rFont val="Aptos Narrow"/>
        <family val="2"/>
        <scheme val="minor"/>
      </rPr>
      <t xml:space="preserve">
Implementar monitoreo avanzado de performance, pruebas automatizadas antes de cada despliegue, controles de calidad en desarrollo, mejoras de infraestructura y optimización del código. Aplicar proceso formal de gestión de cambios y fortalecer pruebas de carga.
</t>
    </r>
    <r>
      <rPr>
        <b/>
        <u/>
        <sz val="12"/>
        <color theme="1"/>
        <rFont val="Aptos Narrow"/>
        <family val="2"/>
        <scheme val="minor"/>
      </rPr>
      <t>Evidencias esperadas:</t>
    </r>
    <r>
      <rPr>
        <sz val="12"/>
        <color theme="1"/>
        <rFont val="Aptos Narrow"/>
        <family val="2"/>
        <scheme val="minor"/>
      </rPr>
      <t xml:space="preserve"> Logs de monitoreo, reportes de performance, resultados de pruebas, flujos de despliegue, documentación de cambios, reportes de fallas corregidas.</t>
    </r>
  </si>
  <si>
    <t>A.8.17 — Seguridad en pruebas 
A.8.19   — Monitoreo de performance 
A.5.28 — Gestión de cambios 
A.5.20 — Diseño seguro 
A.5.25 — Seguridad en la adquisición/desarrollo 
A.8.10 — Monitoreo continuo</t>
  </si>
  <si>
    <t>- Monitoreo básico del sitio
- Soporte técnico reactivo
- Hosting estándar
- Revisiones ocasionales de desempeño</t>
  </si>
  <si>
    <t>-TI  
-eCommerce 
-BoostTI</t>
  </si>
  <si>
    <t>Deficiencia en aplicación web</t>
  </si>
  <si>
    <t>Que la aplicación web sea rápida, funcional, estable y brinde una experiencia de compra adecuada.</t>
  </si>
  <si>
    <t>- Clientes
- Área de eCommerce
- TI
- BoostTI
- Dirección Comercial</t>
  </si>
  <si>
    <t>Deficiencias en la aplicación web (lentitud, errores, fallas técnicas) que afectan la experiencia de los clientes y las conversiones en línea.</t>
  </si>
  <si>
    <r>
      <t xml:space="preserve">Opción elegida: "Mitigar el riesgo".
</t>
    </r>
    <r>
      <rPr>
        <sz val="12"/>
        <color theme="1"/>
        <rFont val="Arial"/>
        <family val="2"/>
      </rPr>
      <t>Dado que el impacto es máximo y la probabilidad no se puede reducir a cero, la única opción viable es implementar controles técnicos avanzados para mitigar el ataque.</t>
    </r>
    <r>
      <rPr>
        <b/>
        <sz val="12"/>
        <color theme="1"/>
        <rFont val="Arial"/>
        <family val="2"/>
      </rPr>
      <t xml:space="preserve">
</t>
    </r>
    <r>
      <rPr>
        <b/>
        <u/>
        <sz val="12"/>
        <color theme="1"/>
        <rFont val="Arial"/>
        <family val="2"/>
      </rPr>
      <t>Acciones del plan de tratamiento:</t>
    </r>
    <r>
      <rPr>
        <b/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BoostTI implementará defensa avanzada contra DDoS, EDR, monitoreo 24/7, gestión de vulnerabilidades, segmentación de red, copias inmutables y plan de respuesta a incidentes.</t>
    </r>
    <r>
      <rPr>
        <b/>
        <sz val="12"/>
        <color theme="1"/>
        <rFont val="Arial"/>
        <family val="2"/>
      </rPr>
      <t xml:space="preserve">
</t>
    </r>
    <r>
      <rPr>
        <b/>
        <u/>
        <sz val="12"/>
        <color theme="1"/>
        <rFont val="Arial"/>
        <family val="2"/>
      </rPr>
      <t>Evidencias esperadas: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Reportes de seguridad, bitácoras, evidencia de backups, registros del SOC, documentación de respuesta a incidentes.</t>
    </r>
  </si>
  <si>
    <t xml:space="preserve">A.8.7 — Controles contra el código malicioso
A.8.8 — Gestión de vulnerabilidades tecnicas
A.5.23 — Seguridad de la información para el uso de servicios en la nube
A7.4 — Monitorización de la seguridad física
A.5.26 — Respuesta a incidentes de seguridad de la información
A.7.13 — Mantenimiento de los equipos
A.8.7 – Protección contra malware.
A.8.11 – Enmascaramiento de datos
A.8.13 – Copias de seguridad de la información.
A.8.5 – Autenticación segura
A.8.12 – Prevención de fugas de datos
</t>
  </si>
  <si>
    <t>- Firewall
- Antivirus básico
- Proveedor cloud con mitigación DDoS
- Respaldos
- Supervisión en horario laboral.</t>
  </si>
  <si>
    <t>- Seguridad de la Información administra los controles
- TI gestiona servidores, redes e infraestructura
- Proveedor cloud (ej. AWS, Azure) debe mantener medidas antiddos y seguridad
- BoostTI colabora en integraciones, monitoreo y respuesta</t>
  </si>
  <si>
    <t>Ciberataques a infraestructura tecnológica (DDoS, malware, ransomware).</t>
  </si>
  <si>
    <t>Protección de los servicios, disponibilidad continua, datos seguros, mitigación de ataques y capacidad de respuesta efectiva.</t>
  </si>
  <si>
    <t>- Clientes
- eCommerce
- TI
- Seguridad de la Información
- Dirección
- BoostTI
- Proveedores cloud</t>
  </si>
  <si>
    <t>Externa</t>
  </si>
  <si>
    <t>La infraestructura tecnológica enfrenta amenazas externas como DDoS, malware y ransomware que pueden detener operaciones omnicanal y exponer información crítica.</t>
  </si>
  <si>
    <r>
      <rPr>
        <b/>
        <sz val="14"/>
        <color theme="1"/>
        <rFont val="Arial"/>
        <family val="2"/>
      </rPr>
      <t>Opción elegida:  "Mitigar el riesgo".</t>
    </r>
    <r>
      <rPr>
        <b/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 xml:space="preserve">Debido al impacto extremo asociado a fuga de datos financieros y personales, no es posible aceptar, evitar ni retener el riesgo. La única opción viable es mitigarlo mediante controles avanzados de seguridad.
</t>
    </r>
    <r>
      <rPr>
        <b/>
        <u/>
        <sz val="12"/>
        <color theme="1"/>
        <rFont val="Arial"/>
        <family val="2"/>
      </rPr>
      <t>Acciones del plan de tratamiento:</t>
    </r>
    <r>
      <rPr>
        <sz val="12"/>
        <color theme="1"/>
        <rFont val="Arial"/>
        <family val="2"/>
      </rPr>
      <t xml:space="preserve">
Implementar un plan de continuidad para fallos en VTEX, reforzar el SLA con el proveedor, establecer mecanismos de contingencia para ventas, habilitar monitoreo activo y mantener alternativas de venta temporal en caso de caída.
</t>
    </r>
    <r>
      <rPr>
        <b/>
        <u/>
        <sz val="12"/>
        <color theme="1"/>
        <rFont val="Arial"/>
        <family val="2"/>
      </rPr>
      <t>Evidencias esperadas:</t>
    </r>
    <r>
      <rPr>
        <sz val="12"/>
        <color theme="1"/>
        <rFont val="Arial"/>
        <family val="2"/>
      </rPr>
      <t xml:space="preserve"> Registros de monitoreo, reportes de pruebas de seguridad, bitácoras de incidentes, documentación actualizada del procedimiento, evidencia de capacitaciones.</t>
    </r>
  </si>
  <si>
    <t>- Implementar monitoreo activo 24/7 con alertas
- Crear un procedimiento de contingencia para caídas de VTEX
- Establecer canales alternos de venta en emergencias
- Proporcionar reportes de rendimiento a La Marina</t>
  </si>
  <si>
    <t>- Monitoreo básico de la tienda en línea
- Comunicación con VTEX cuando hay fallas
- Revisión periódica del SLA
- Reporte mensual de disponibilidad</t>
  </si>
  <si>
    <t>Área de TI / Responsable de eCommerce</t>
  </si>
  <si>
    <t>Fallo en la plataforma VTEX que provoca la indisponibilidad de la tienda en línea.</t>
  </si>
  <si>
    <t>E</t>
  </si>
  <si>
    <t>Disponibilidad continua de la tienda estabilidad del servicio
cumplimiento de ventas
experiencia positiva del cliente.</t>
  </si>
  <si>
    <t>- Clientes
- Área de eCommerce
- Ventas
- Dirección Comercial
TI</t>
  </si>
  <si>
    <t>Dependencia operativa de la plataforma VTEX para la disponibilidad de la tienda en línea.</t>
  </si>
  <si>
    <t>NIVEL DE RIESGO RESIDUAL</t>
  </si>
  <si>
    <t xml:space="preserve">POSIBILIDAD DE OCURRENCIA </t>
  </si>
  <si>
    <t>IMPACTO DEL RIESGO</t>
  </si>
  <si>
    <t>Disponibilidad</t>
  </si>
  <si>
    <t>Integridad</t>
  </si>
  <si>
    <t>Confidencialidad</t>
  </si>
  <si>
    <t>REQUISITO/ EXPECTATIVA</t>
  </si>
  <si>
    <t>INTERNA / EXTERNA</t>
  </si>
  <si>
    <t>PLAN DE TRATAMIENTO
(INDICAR OPCIÓN DE TRATAMIENTO ELEGIDA)</t>
  </si>
  <si>
    <t xml:space="preserve">CONTROLES ADICIONALES </t>
  </si>
  <si>
    <t xml:space="preserve">VALORACIÓN DEL RIESGO </t>
  </si>
  <si>
    <t xml:space="preserve">CONTROLES
EXISTENTES
</t>
  </si>
  <si>
    <t>PROPIETARIO(S) DEL RIESGO</t>
  </si>
  <si>
    <t>INFORMACIÓN QUE PODRÍA AFECTARSE</t>
  </si>
  <si>
    <t>RIESGOS</t>
  </si>
  <si>
    <t>TIPO</t>
  </si>
  <si>
    <t>NECESIDADES/EXPECTATIVAS DE LAS PARTES INTERESADAS</t>
  </si>
  <si>
    <t>PARTE INTERESADA</t>
  </si>
  <si>
    <t>PROBLEMAS Y OPORTUNIDADES IDENTIFICADAS A PARTIR DE LAS CUESTIONES INTERNAS Y EXTERNAS</t>
  </si>
  <si>
    <t>TRATAMIENTO</t>
  </si>
  <si>
    <t xml:space="preserve"> EVALUACIÓN DEL RIESGO </t>
  </si>
  <si>
    <t>IDENTIFICACIÓN DEL RIESGO</t>
  </si>
  <si>
    <t>CONTEXTO DEL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</si>
</sst>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u/>
      <sz val="12"/>
      <color theme="1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8" fillId="0" borderId="1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8" fillId="0" borderId="1" xfId="0" quotePrefix="1" applyFont="1" applyBorder="1" applyAlignment="1">
      <alignment vertical="top" wrapText="1"/>
    </xf>
    <xf numFmtId="0" fontId="7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4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7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textRotation="90" wrapText="1"/>
    </xf>
    <xf numFmtId="0" fontId="14" fillId="0" borderId="1" xfId="0" applyFont="1" applyBorder="1"/>
    <xf numFmtId="0" fontId="10" fillId="10" borderId="1" xfId="0" applyFont="1" applyFill="1" applyBorder="1" applyAlignment="1">
      <alignment horizontal="center" vertical="center" textRotation="90" wrapText="1"/>
    </xf>
    <xf numFmtId="0" fontId="10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0" fillId="11" borderId="4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wrapText="1"/>
    </xf>
  </cellXfs>
  <cellStyles count="1">
    <cellStyle name="Normal" xfId="0" builtinId="0"/>
  </cellStyles>
  <dxfs count="1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74A6-A17C-4CBC-8610-56A73EF2FC6F}">
  <dimension ref="A1:P16"/>
  <sheetViews>
    <sheetView tabSelected="1" zoomScale="42" zoomScaleNormal="70" workbookViewId="0">
      <selection activeCell="I13" sqref="I13"/>
    </sheetView>
  </sheetViews>
  <sheetFormatPr baseColWidth="10" defaultRowHeight="14.4" x14ac:dyDescent="0.3"/>
  <cols>
    <col min="1" max="1" width="32.109375" customWidth="1"/>
    <col min="3" max="3" width="29.88671875" customWidth="1"/>
    <col min="4" max="4" width="27.5546875" customWidth="1"/>
    <col min="6" max="6" width="36.109375" customWidth="1"/>
    <col min="10" max="10" width="23.109375" customWidth="1"/>
    <col min="11" max="11" width="25.33203125" customWidth="1"/>
    <col min="15" max="15" width="30.88671875" customWidth="1"/>
    <col min="16" max="16" width="85.5546875" customWidth="1"/>
  </cols>
  <sheetData>
    <row r="1" spans="1:16" ht="15.6" x14ac:dyDescent="0.3">
      <c r="A1" s="41" t="s">
        <v>60</v>
      </c>
      <c r="B1" s="40"/>
      <c r="C1" s="40"/>
      <c r="D1" s="40"/>
      <c r="E1" s="39"/>
      <c r="F1" s="42" t="s">
        <v>59</v>
      </c>
      <c r="G1" s="41" t="s">
        <v>58</v>
      </c>
      <c r="H1" s="40"/>
      <c r="I1" s="40"/>
      <c r="J1" s="40"/>
      <c r="K1" s="40"/>
      <c r="L1" s="40"/>
      <c r="M1" s="40"/>
      <c r="N1" s="40"/>
      <c r="O1" s="39"/>
      <c r="P1" s="38" t="s">
        <v>57</v>
      </c>
    </row>
    <row r="2" spans="1:16" ht="15.6" customHeight="1" x14ac:dyDescent="0.3">
      <c r="A2" s="35" t="s">
        <v>56</v>
      </c>
      <c r="B2" s="37" t="s">
        <v>53</v>
      </c>
      <c r="C2" s="35" t="s">
        <v>55</v>
      </c>
      <c r="D2" s="35" t="s">
        <v>54</v>
      </c>
      <c r="E2" s="37" t="s">
        <v>53</v>
      </c>
      <c r="F2" s="36" t="s">
        <v>52</v>
      </c>
      <c r="G2" s="35" t="s">
        <v>51</v>
      </c>
      <c r="H2" s="33"/>
      <c r="I2" s="33"/>
      <c r="J2" s="35" t="s">
        <v>50</v>
      </c>
      <c r="K2" s="35" t="s">
        <v>49</v>
      </c>
      <c r="L2" s="35" t="s">
        <v>48</v>
      </c>
      <c r="M2" s="33"/>
      <c r="N2" s="33"/>
      <c r="O2" s="31" t="s">
        <v>47</v>
      </c>
      <c r="P2" s="30" t="s">
        <v>46</v>
      </c>
    </row>
    <row r="3" spans="1:16" ht="84" x14ac:dyDescent="0.3">
      <c r="A3" s="33"/>
      <c r="B3" s="34" t="s">
        <v>45</v>
      </c>
      <c r="C3" s="33"/>
      <c r="D3" s="33"/>
      <c r="E3" s="34" t="s">
        <v>44</v>
      </c>
      <c r="F3" s="33"/>
      <c r="G3" s="34" t="s">
        <v>43</v>
      </c>
      <c r="H3" s="34" t="s">
        <v>42</v>
      </c>
      <c r="I3" s="34" t="s">
        <v>41</v>
      </c>
      <c r="J3" s="33"/>
      <c r="K3" s="33"/>
      <c r="L3" s="32" t="s">
        <v>40</v>
      </c>
      <c r="M3" s="32" t="s">
        <v>39</v>
      </c>
      <c r="N3" s="32" t="s">
        <v>38</v>
      </c>
      <c r="O3" s="31"/>
      <c r="P3" s="30"/>
    </row>
    <row r="4" spans="1:16" ht="222" customHeight="1" x14ac:dyDescent="0.4">
      <c r="A4" s="26" t="s">
        <v>37</v>
      </c>
      <c r="B4" s="13" t="s">
        <v>10</v>
      </c>
      <c r="C4" s="7" t="s">
        <v>36</v>
      </c>
      <c r="D4" s="11" t="s">
        <v>35</v>
      </c>
      <c r="E4" s="25" t="s">
        <v>34</v>
      </c>
      <c r="F4" s="29" t="s">
        <v>33</v>
      </c>
      <c r="G4" s="28"/>
      <c r="H4" s="28"/>
      <c r="I4" s="23" t="s">
        <v>5</v>
      </c>
      <c r="J4" s="27" t="s">
        <v>32</v>
      </c>
      <c r="K4" s="19" t="s">
        <v>31</v>
      </c>
      <c r="L4" s="21">
        <v>5</v>
      </c>
      <c r="M4" s="21">
        <v>2</v>
      </c>
      <c r="N4" s="20">
        <f>L4*M4</f>
        <v>10</v>
      </c>
      <c r="O4" s="19" t="s">
        <v>30</v>
      </c>
      <c r="P4" s="18" t="s">
        <v>29</v>
      </c>
    </row>
    <row r="5" spans="1:16" ht="226.2" customHeight="1" x14ac:dyDescent="0.4">
      <c r="A5" s="26" t="s">
        <v>28</v>
      </c>
      <c r="B5" s="13" t="s">
        <v>27</v>
      </c>
      <c r="C5" s="7" t="s">
        <v>26</v>
      </c>
      <c r="D5" s="11" t="s">
        <v>25</v>
      </c>
      <c r="E5" s="25" t="s">
        <v>7</v>
      </c>
      <c r="F5" s="24" t="s">
        <v>24</v>
      </c>
      <c r="G5" s="8" t="s">
        <v>5</v>
      </c>
      <c r="H5" s="8" t="s">
        <v>5</v>
      </c>
      <c r="I5" s="23" t="s">
        <v>5</v>
      </c>
      <c r="J5" s="22" t="s">
        <v>23</v>
      </c>
      <c r="K5" s="19" t="s">
        <v>22</v>
      </c>
      <c r="L5" s="21">
        <v>5</v>
      </c>
      <c r="M5" s="21">
        <v>2</v>
      </c>
      <c r="N5" s="20">
        <f>L5*M5</f>
        <v>10</v>
      </c>
      <c r="O5" s="19" t="s">
        <v>21</v>
      </c>
      <c r="P5" s="18" t="s">
        <v>20</v>
      </c>
    </row>
    <row r="6" spans="1:16" ht="243.6" customHeight="1" x14ac:dyDescent="0.4">
      <c r="A6" s="14" t="s">
        <v>19</v>
      </c>
      <c r="B6" s="13" t="s">
        <v>10</v>
      </c>
      <c r="C6" s="17" t="s">
        <v>18</v>
      </c>
      <c r="D6" s="16" t="s">
        <v>17</v>
      </c>
      <c r="E6" s="10" t="s">
        <v>7</v>
      </c>
      <c r="F6" s="15" t="s">
        <v>16</v>
      </c>
      <c r="G6" s="5"/>
      <c r="H6" s="8" t="s">
        <v>5</v>
      </c>
      <c r="I6" s="8" t="s">
        <v>5</v>
      </c>
      <c r="J6" s="12" t="s">
        <v>15</v>
      </c>
      <c r="K6" s="6" t="s">
        <v>14</v>
      </c>
      <c r="L6" s="5">
        <v>2</v>
      </c>
      <c r="M6" s="5">
        <v>5</v>
      </c>
      <c r="N6" s="5">
        <f>L6*M6</f>
        <v>10</v>
      </c>
      <c r="O6" s="4" t="s">
        <v>13</v>
      </c>
      <c r="P6" s="3" t="s">
        <v>12</v>
      </c>
    </row>
    <row r="7" spans="1:16" ht="283.8" customHeight="1" x14ac:dyDescent="0.4">
      <c r="A7" s="14" t="s">
        <v>11</v>
      </c>
      <c r="B7" s="13" t="s">
        <v>10</v>
      </c>
      <c r="C7" s="12" t="s">
        <v>9</v>
      </c>
      <c r="D7" s="11" t="s">
        <v>8</v>
      </c>
      <c r="E7" s="10" t="s">
        <v>7</v>
      </c>
      <c r="F7" s="9" t="s">
        <v>6</v>
      </c>
      <c r="G7" s="5"/>
      <c r="H7" s="8" t="s">
        <v>5</v>
      </c>
      <c r="I7" s="8" t="s">
        <v>5</v>
      </c>
      <c r="J7" s="7" t="s">
        <v>4</v>
      </c>
      <c r="K7" s="6" t="s">
        <v>3</v>
      </c>
      <c r="L7" s="5">
        <v>3</v>
      </c>
      <c r="M7" s="5">
        <v>2</v>
      </c>
      <c r="N7" s="5">
        <f>L7*M7</f>
        <v>6</v>
      </c>
      <c r="O7" s="4" t="s">
        <v>2</v>
      </c>
      <c r="P7" s="3" t="s">
        <v>1</v>
      </c>
    </row>
    <row r="11" spans="1:16" x14ac:dyDescent="0.3">
      <c r="C11" s="2" t="s">
        <v>0</v>
      </c>
      <c r="D11" s="1"/>
      <c r="E11" s="1"/>
      <c r="F11" s="1"/>
    </row>
    <row r="12" spans="1:16" x14ac:dyDescent="0.3">
      <c r="C12" s="1"/>
      <c r="D12" s="1"/>
      <c r="E12" s="1"/>
      <c r="F12" s="1"/>
    </row>
    <row r="13" spans="1:16" x14ac:dyDescent="0.3">
      <c r="C13" s="1"/>
      <c r="D13" s="1"/>
      <c r="E13" s="1"/>
      <c r="F13" s="1"/>
    </row>
    <row r="14" spans="1:16" x14ac:dyDescent="0.3">
      <c r="C14" s="1"/>
      <c r="D14" s="1"/>
      <c r="E14" s="1"/>
      <c r="F14" s="1"/>
    </row>
    <row r="15" spans="1:16" x14ac:dyDescent="0.3">
      <c r="C15" s="1"/>
      <c r="D15" s="1"/>
      <c r="E15" s="1"/>
      <c r="F15" s="1"/>
    </row>
    <row r="16" spans="1:16" x14ac:dyDescent="0.3">
      <c r="C16" s="1"/>
      <c r="D16" s="1"/>
      <c r="E16" s="1"/>
      <c r="F16" s="1"/>
    </row>
  </sheetData>
  <mergeCells count="13">
    <mergeCell ref="J2:J3"/>
    <mergeCell ref="K2:K3"/>
    <mergeCell ref="L2:N2"/>
    <mergeCell ref="O2:O3"/>
    <mergeCell ref="P2:P3"/>
    <mergeCell ref="C11:F16"/>
    <mergeCell ref="A1:E1"/>
    <mergeCell ref="G1:O1"/>
    <mergeCell ref="A2:A3"/>
    <mergeCell ref="C2:C3"/>
    <mergeCell ref="D2:D3"/>
    <mergeCell ref="F2:F3"/>
    <mergeCell ref="G2:I2"/>
  </mergeCells>
  <conditionalFormatting sqref="N4 P4">
    <cfRule type="cellIs" dxfId="11" priority="10" operator="between">
      <formula>12</formula>
      <formula>25</formula>
    </cfRule>
    <cfRule type="cellIs" dxfId="10" priority="11" operator="between">
      <formula>5</formula>
      <formula>10</formula>
    </cfRule>
    <cfRule type="cellIs" dxfId="9" priority="12" operator="between">
      <formula>1</formula>
      <formula>4</formula>
    </cfRule>
  </conditionalFormatting>
  <conditionalFormatting sqref="N5 P5">
    <cfRule type="cellIs" dxfId="8" priority="7" operator="between">
      <formula>12</formula>
      <formula>25</formula>
    </cfRule>
    <cfRule type="cellIs" dxfId="7" priority="8" operator="between">
      <formula>5</formula>
      <formula>10</formula>
    </cfRule>
    <cfRule type="cellIs" dxfId="6" priority="9" operator="between">
      <formula>1</formula>
      <formula>4</formula>
    </cfRule>
  </conditionalFormatting>
  <conditionalFormatting sqref="N6:O6 K6">
    <cfRule type="cellIs" dxfId="5" priority="4" operator="between">
      <formula>12</formula>
      <formula>25</formula>
    </cfRule>
    <cfRule type="cellIs" dxfId="4" priority="5" operator="between">
      <formula>5</formula>
      <formula>10</formula>
    </cfRule>
    <cfRule type="cellIs" dxfId="3" priority="6" operator="between">
      <formula>1</formula>
      <formula>4</formula>
    </cfRule>
  </conditionalFormatting>
  <conditionalFormatting sqref="N7">
    <cfRule type="cellIs" dxfId="2" priority="1" operator="between">
      <formula>12</formula>
      <formula>25</formula>
    </cfRule>
    <cfRule type="cellIs" dxfId="1" priority="2" operator="between">
      <formula>5</formula>
      <formula>10</formula>
    </cfRule>
    <cfRule type="cellIs" dxfId="0" priority="3" operator="between">
      <formula>1</formula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A3F9-3D09-4BBE-BEA3-54287B8298D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Matriz_de_Contexto_y_Riesgos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CASTILLO GABRIELA</dc:creator>
  <cp:lastModifiedBy>GUZMAN CASTILLO GABRIELA</cp:lastModifiedBy>
  <dcterms:created xsi:type="dcterms:W3CDTF">2025-11-18T16:04:04Z</dcterms:created>
  <dcterms:modified xsi:type="dcterms:W3CDTF">2025-11-18T16:05:52Z</dcterms:modified>
</cp:coreProperties>
</file>